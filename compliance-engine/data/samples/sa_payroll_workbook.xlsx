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s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Calculations" sheetId="3" state="visible" r:id="rId3"/>
    <sheet xmlns:r="http://schemas.openxmlformats.org/officeDocument/2006/relationships" name="Outputs" sheetId="4" state="visible" r:id="rId4"/>
    <sheet xmlns:r="http://schemas.openxmlformats.org/officeDocument/2006/relationships" name="Ruleset v1.1 (2025-26)" sheetId="5" state="visible" r:id="rId5"/>
    <sheet xmlns:r="http://schemas.openxmlformats.org/officeDocument/2006/relationships" name="Sources &amp; Notes" sheetId="6" state="visible" r:id="rId6"/>
  </sheets>
  <definedNames>
    <definedName name="UIF_Ceiling">'Ruleset v1.1 (2025-26)'!$B$15</definedName>
    <definedName name="UIF_Employee_Rate">'Ruleset v1.1 (2025-26)'!$B$16</definedName>
    <definedName name="UIF_Employer_Rate">'Ruleset v1.1 (2025-26)'!$B$17</definedName>
    <definedName name="SDL_Rate">'Ruleset v1.1 (2025-26)'!$B$18</definedName>
    <definedName name="SDL_Threshold">'Ruleset v1.1 (2025-26)'!$B$19</definedName>
    <definedName name="Rebate_Primary">'Ruleset v1.1 (2025-26)'!$G$5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R #,##0"/>
    <numFmt numFmtId="165" formatCode="0.0%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color rgb="000000FF"/>
      <sz val="10"/>
    </font>
    <font>
      <name val="Arial"/>
      <b val="1"/>
      <sz val="14"/>
    </font>
    <font>
      <name val="Arial"/>
      <b val="1"/>
      <sz val="12"/>
    </font>
    <font>
      <name val="Arial"/>
      <color rgb="00008000"/>
      <sz val="10"/>
    </font>
    <font>
      <name val="Arial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164" fontId="2" fillId="0" borderId="0" pivotButton="0" quotePrefix="0" xfId="0"/>
    <xf numFmtId="0" fontId="2" fillId="0" borderId="0" pivotButton="0" quotePrefix="0" xfId="0"/>
    <xf numFmtId="164" fontId="5" fillId="0" borderId="0" pivotButton="0" quotePrefix="0" xfId="0"/>
    <xf numFmtId="0" fontId="5" fillId="0" borderId="0" pivotButton="0" quotePrefix="0" xfId="0"/>
    <xf numFmtId="164" fontId="6" fillId="0" borderId="0" pivotButton="0" quotePrefix="0" xfId="0"/>
    <xf numFmtId="0" fontId="1" fillId="0" borderId="0" pivotButton="0" quotePrefix="0" xfId="0"/>
    <xf numFmtId="164" fontId="1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3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E6E6"/>
          <bgColor rgb="00FFE6E6"/>
        </patternFill>
      </fill>
    </dxf>
    <dxf>
      <fill>
        <patternFill patternType="solid">
          <fgColor rgb="00E6F3FF"/>
          <bgColor rgb="00E6F3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5" customWidth="1" min="4" max="4"/>
    <col width="15" customWidth="1" min="5" max="5"/>
    <col width="15" customWidth="1" min="6" max="6"/>
    <col width="15" customWidth="1" min="7" max="7"/>
    <col width="18" customWidth="1" min="8" max="8"/>
  </cols>
  <sheetData>
    <row r="1">
      <c r="A1" s="1" t="inlineStr">
        <is>
          <t>Scenario ID</t>
        </is>
      </c>
      <c r="B1" s="1" t="inlineStr">
        <is>
          <t>Employee Name</t>
        </is>
      </c>
      <c r="C1" s="1" t="inlineStr">
        <is>
          <t>Employee ID</t>
        </is>
      </c>
      <c r="D1" s="1" t="inlineStr">
        <is>
          <t>Salary (Monthly)</t>
        </is>
      </c>
      <c r="E1" s="1" t="inlineStr">
        <is>
          <t>Bonus (Monthly)</t>
        </is>
      </c>
      <c r="F1" s="1" t="inlineStr">
        <is>
          <t>Overtime (Monthly)</t>
        </is>
      </c>
      <c r="G1" s="1" t="inlineStr">
        <is>
          <t>Start Date</t>
        </is>
      </c>
      <c r="H1" s="1" t="inlineStr">
        <is>
          <t>Termination Date</t>
        </is>
      </c>
    </row>
    <row r="2">
      <c r="A2" t="n">
        <v>1</v>
      </c>
      <c r="B2" t="inlineStr">
        <is>
          <t>Thabo Nkosi</t>
        </is>
      </c>
      <c r="C2" t="inlineStr">
        <is>
          <t>EMP001</t>
        </is>
      </c>
      <c r="D2" s="2" t="n">
        <v>8500</v>
      </c>
      <c r="E2" s="2" t="n">
        <v>0</v>
      </c>
      <c r="F2" s="2" t="n">
        <v>0</v>
      </c>
      <c r="G2" s="3" t="inlineStr">
        <is>
          <t>2025-03-01</t>
        </is>
      </c>
      <c r="H2" s="3" t="inlineStr"/>
    </row>
    <row r="3">
      <c r="A3" t="n">
        <v>2</v>
      </c>
      <c r="B3" t="inlineStr">
        <is>
          <t>Lindiwe van der Merwe</t>
        </is>
      </c>
      <c r="C3" t="inlineStr">
        <is>
          <t>EMP002</t>
        </is>
      </c>
      <c r="D3" s="2" t="n">
        <v>25000</v>
      </c>
      <c r="E3" s="2" t="n">
        <v>0</v>
      </c>
      <c r="F3" s="2" t="n">
        <v>0</v>
      </c>
      <c r="G3" s="3" t="inlineStr">
        <is>
          <t>2025-03-01</t>
        </is>
      </c>
      <c r="H3" s="3" t="inlineStr"/>
    </row>
    <row r="4">
      <c r="A4" t="n">
        <v>3</v>
      </c>
      <c r="B4" t="inlineStr">
        <is>
          <t>Johan Mokoena</t>
        </is>
      </c>
      <c r="C4" t="inlineStr">
        <is>
          <t>EMP003</t>
        </is>
      </c>
      <c r="D4" s="2" t="n">
        <v>180000</v>
      </c>
      <c r="E4" s="2" t="n">
        <v>0</v>
      </c>
      <c r="F4" s="2" t="n">
        <v>0</v>
      </c>
      <c r="G4" s="3" t="inlineStr">
        <is>
          <t>2025-03-01</t>
        </is>
      </c>
      <c r="H4" s="3" t="inlineStr"/>
    </row>
    <row r="5">
      <c r="A5" t="n">
        <v>4</v>
      </c>
      <c r="B5" t="inlineStr">
        <is>
          <t>Ayanda Botha</t>
        </is>
      </c>
      <c r="C5" t="inlineStr">
        <is>
          <t>EMP004</t>
        </is>
      </c>
      <c r="D5" s="2" t="n">
        <v>35000</v>
      </c>
      <c r="E5" s="2" t="n">
        <v>15000</v>
      </c>
      <c r="F5" s="2" t="n">
        <v>0</v>
      </c>
      <c r="G5" s="3" t="inlineStr">
        <is>
          <t>2025-03-01</t>
        </is>
      </c>
      <c r="H5" s="3" t="inlineStr"/>
    </row>
    <row r="6">
      <c r="A6" t="n">
        <v>5</v>
      </c>
      <c r="B6" t="inlineStr">
        <is>
          <t>Pieter Dlamini</t>
        </is>
      </c>
      <c r="C6" t="inlineStr">
        <is>
          <t>EMP005</t>
        </is>
      </c>
      <c r="D6" s="2" t="n">
        <v>12000</v>
      </c>
      <c r="E6" s="2" t="n">
        <v>0</v>
      </c>
      <c r="F6" s="2" t="n">
        <v>3500</v>
      </c>
      <c r="G6" s="3" t="inlineStr">
        <is>
          <t>2025-03-01</t>
        </is>
      </c>
      <c r="H6" s="3" t="inlineStr"/>
    </row>
    <row r="7">
      <c r="A7" t="n">
        <v>6</v>
      </c>
      <c r="B7" t="inlineStr">
        <is>
          <t>Nomsa Smith</t>
        </is>
      </c>
      <c r="C7" t="inlineStr">
        <is>
          <t>EMP006</t>
        </is>
      </c>
      <c r="D7" s="2" t="n">
        <v>18000</v>
      </c>
      <c r="E7" s="2" t="n">
        <v>0</v>
      </c>
      <c r="F7" s="2" t="n">
        <v>0</v>
      </c>
      <c r="G7" s="3" t="inlineStr">
        <is>
          <t>2025-03-15</t>
        </is>
      </c>
      <c r="H7" s="3" t="inlineStr"/>
    </row>
    <row r="8">
      <c r="A8" t="n">
        <v>7</v>
      </c>
      <c r="B8" t="inlineStr">
        <is>
          <t>David Mbeki</t>
        </is>
      </c>
      <c r="C8" t="inlineStr">
        <is>
          <t>EMP007</t>
        </is>
      </c>
      <c r="D8" s="2" t="n">
        <v>22000</v>
      </c>
      <c r="E8" s="2" t="n">
        <v>0</v>
      </c>
      <c r="F8" s="2" t="n">
        <v>0</v>
      </c>
      <c r="G8" s="3" t="inlineStr">
        <is>
          <t>2025-03-01</t>
        </is>
      </c>
      <c r="H8" s="3" t="inlineStr">
        <is>
          <t>2025-03-20</t>
        </is>
      </c>
    </row>
    <row r="9">
      <c r="A9" t="n">
        <v>8</v>
      </c>
      <c r="B9" t="inlineStr">
        <is>
          <t>Zanele Pretorius</t>
        </is>
      </c>
      <c r="C9" t="inlineStr">
        <is>
          <t>EMP008</t>
        </is>
      </c>
      <c r="D9" s="2" t="n">
        <v>40000</v>
      </c>
      <c r="E9" s="2" t="n">
        <v>0</v>
      </c>
      <c r="F9" s="2" t="n">
        <v>0</v>
      </c>
      <c r="G9" s="3" t="inlineStr">
        <is>
          <t>2025-03-01</t>
        </is>
      </c>
      <c r="H9" s="3" t="inlineStr"/>
    </row>
    <row r="10">
      <c r="A10" t="n">
        <v>9</v>
      </c>
      <c r="B10" t="inlineStr">
        <is>
          <t>Michael Mahlangu</t>
        </is>
      </c>
      <c r="C10" t="inlineStr">
        <is>
          <t>EMP009</t>
        </is>
      </c>
      <c r="D10" s="2" t="n">
        <v>28000</v>
      </c>
      <c r="E10" s="2" t="n">
        <v>5000</v>
      </c>
      <c r="F10" s="2" t="n">
        <v>2000</v>
      </c>
      <c r="G10" s="3" t="inlineStr">
        <is>
          <t>2025-03-01</t>
        </is>
      </c>
      <c r="H10" s="3" t="inlineStr"/>
    </row>
    <row r="11">
      <c r="A11" t="n">
        <v>10</v>
      </c>
      <c r="B11" t="inlineStr">
        <is>
          <t>Precious Nel</t>
        </is>
      </c>
      <c r="C11" t="inlineStr">
        <is>
          <t>EMP010</t>
        </is>
      </c>
      <c r="D11" s="2" t="n">
        <v>17712</v>
      </c>
      <c r="E11" s="2" t="n">
        <v>0</v>
      </c>
      <c r="F11" s="2" t="n">
        <v>0</v>
      </c>
      <c r="G11" s="3" t="inlineStr">
        <is>
          <t>2025-03-01</t>
        </is>
      </c>
      <c r="H11" s="3" t="inlineStr"/>
    </row>
    <row r="12">
      <c r="A12" t="n">
        <v>11</v>
      </c>
      <c r="B12" t="inlineStr">
        <is>
          <t>Andre Zulu</t>
        </is>
      </c>
      <c r="C12" t="inlineStr">
        <is>
          <t>EMP011</t>
        </is>
      </c>
      <c r="D12" s="2" t="n">
        <v>15000</v>
      </c>
      <c r="E12" s="2" t="n">
        <v>0</v>
      </c>
      <c r="F12" s="2" t="n">
        <v>0</v>
      </c>
      <c r="G12" s="3" t="inlineStr">
        <is>
          <t>2025-03-01</t>
        </is>
      </c>
      <c r="H12" s="3" t="inlineStr"/>
    </row>
    <row r="13">
      <c r="A13" t="n">
        <v>12</v>
      </c>
      <c r="B13" t="inlineStr">
        <is>
          <t>Naledi Jacobs</t>
        </is>
      </c>
      <c r="C13" t="inlineStr">
        <is>
          <t>EMP012</t>
        </is>
      </c>
      <c r="D13" s="2" t="n">
        <v>95000</v>
      </c>
      <c r="E13" s="2" t="n">
        <v>20000</v>
      </c>
      <c r="F13" s="2" t="n">
        <v>0</v>
      </c>
      <c r="G13" s="3" t="inlineStr">
        <is>
          <t>2025-03-01</t>
        </is>
      </c>
      <c r="H13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Employee ID</t>
        </is>
      </c>
      <c r="B1" s="1" t="inlineStr">
        <is>
          <t>Basic Salary (Monthly)</t>
        </is>
      </c>
      <c r="C1" s="1" t="inlineStr">
        <is>
          <t>Bonus (Monthly)</t>
        </is>
      </c>
      <c r="D1" s="1" t="inlineStr">
        <is>
          <t>Overtime (Monthly)</t>
        </is>
      </c>
      <c r="E1" s="1" t="inlineStr">
        <is>
          <t>Allowances (Monthly)</t>
        </is>
      </c>
      <c r="F1" s="1" t="inlineStr">
        <is>
          <t>Other Deductions (Monthly)</t>
        </is>
      </c>
    </row>
    <row r="2">
      <c r="A2" s="3" t="inlineStr">
        <is>
          <t>EMP001</t>
        </is>
      </c>
      <c r="B2" s="4">
        <f>Scenarios!D2</f>
        <v/>
      </c>
      <c r="C2" s="4">
        <f>Scenarios!E2</f>
        <v/>
      </c>
      <c r="D2" s="4">
        <f>Scenarios!F2</f>
        <v/>
      </c>
      <c r="E2" s="2" t="n">
        <v>3500</v>
      </c>
      <c r="F2" s="2" t="n">
        <v>1200</v>
      </c>
    </row>
    <row r="3">
      <c r="A3" s="3" t="inlineStr">
        <is>
          <t>EMP002</t>
        </is>
      </c>
      <c r="B3" s="4">
        <f>Scenarios!D3</f>
        <v/>
      </c>
      <c r="C3" s="4">
        <f>Scenarios!E3</f>
        <v/>
      </c>
      <c r="D3" s="4">
        <f>Scenarios!F3</f>
        <v/>
      </c>
      <c r="E3" s="2" t="n">
        <v>0</v>
      </c>
      <c r="F3" s="2" t="n">
        <v>750</v>
      </c>
    </row>
    <row r="4">
      <c r="A4" s="3" t="inlineStr">
        <is>
          <t>EMP003</t>
        </is>
      </c>
      <c r="B4" s="4">
        <f>Scenarios!D4</f>
        <v/>
      </c>
      <c r="C4" s="4">
        <f>Scenarios!E4</f>
        <v/>
      </c>
      <c r="D4" s="4">
        <f>Scenarios!F4</f>
        <v/>
      </c>
      <c r="E4" s="2" t="n">
        <v>0</v>
      </c>
      <c r="F4" s="2" t="n">
        <v>750</v>
      </c>
    </row>
    <row r="5">
      <c r="A5" s="3" t="inlineStr">
        <is>
          <t>EMP004</t>
        </is>
      </c>
      <c r="B5" s="4">
        <f>Scenarios!D5</f>
        <v/>
      </c>
      <c r="C5" s="4">
        <f>Scenarios!E5</f>
        <v/>
      </c>
      <c r="D5" s="4">
        <f>Scenarios!F5</f>
        <v/>
      </c>
      <c r="E5" s="2" t="n">
        <v>2000</v>
      </c>
      <c r="F5" s="2" t="n">
        <v>0</v>
      </c>
    </row>
    <row r="6">
      <c r="A6" s="3" t="inlineStr">
        <is>
          <t>EMP005</t>
        </is>
      </c>
      <c r="B6" s="4">
        <f>Scenarios!D6</f>
        <v/>
      </c>
      <c r="C6" s="4">
        <f>Scenarios!E6</f>
        <v/>
      </c>
      <c r="D6" s="4">
        <f>Scenarios!F6</f>
        <v/>
      </c>
      <c r="E6" s="2" t="n">
        <v>3500</v>
      </c>
      <c r="F6" s="2" t="n">
        <v>0</v>
      </c>
    </row>
    <row r="7">
      <c r="A7" s="3" t="inlineStr">
        <is>
          <t>EMP006</t>
        </is>
      </c>
      <c r="B7" s="4">
        <f>Scenarios!D7</f>
        <v/>
      </c>
      <c r="C7" s="4">
        <f>Scenarios!E7</f>
        <v/>
      </c>
      <c r="D7" s="4">
        <f>Scenarios!F7</f>
        <v/>
      </c>
      <c r="E7" s="2" t="n">
        <v>0</v>
      </c>
      <c r="F7" s="2" t="n">
        <v>1200</v>
      </c>
    </row>
    <row r="8">
      <c r="A8" s="3" t="inlineStr">
        <is>
          <t>EMP007</t>
        </is>
      </c>
      <c r="B8" s="4">
        <f>Scenarios!D8</f>
        <v/>
      </c>
      <c r="C8" s="4">
        <f>Scenarios!E8</f>
        <v/>
      </c>
      <c r="D8" s="4">
        <f>Scenarios!F8</f>
        <v/>
      </c>
      <c r="E8" s="2" t="n">
        <v>5000</v>
      </c>
      <c r="F8" s="2" t="n">
        <v>500</v>
      </c>
    </row>
    <row r="9">
      <c r="A9" s="3" t="inlineStr">
        <is>
          <t>EMP008</t>
        </is>
      </c>
      <c r="B9" s="4">
        <f>Scenarios!D9</f>
        <v/>
      </c>
      <c r="C9" s="4">
        <f>Scenarios!E9</f>
        <v/>
      </c>
      <c r="D9" s="4">
        <f>Scenarios!F9</f>
        <v/>
      </c>
      <c r="E9" s="2" t="n">
        <v>0</v>
      </c>
      <c r="F9" s="2" t="n">
        <v>750</v>
      </c>
    </row>
    <row r="10">
      <c r="A10" s="3" t="inlineStr">
        <is>
          <t>EMP009</t>
        </is>
      </c>
      <c r="B10" s="4">
        <f>Scenarios!D10</f>
        <v/>
      </c>
      <c r="C10" s="4">
        <f>Scenarios!E10</f>
        <v/>
      </c>
      <c r="D10" s="4">
        <f>Scenarios!F10</f>
        <v/>
      </c>
      <c r="E10" s="2" t="n">
        <v>3500</v>
      </c>
      <c r="F10" s="2" t="n">
        <v>500</v>
      </c>
    </row>
    <row r="11">
      <c r="A11" s="3" t="inlineStr">
        <is>
          <t>EMP010</t>
        </is>
      </c>
      <c r="B11" s="4">
        <f>Scenarios!D11</f>
        <v/>
      </c>
      <c r="C11" s="4">
        <f>Scenarios!E11</f>
        <v/>
      </c>
      <c r="D11" s="4">
        <f>Scenarios!F11</f>
        <v/>
      </c>
      <c r="E11" s="2" t="n">
        <v>5000</v>
      </c>
      <c r="F11" s="2" t="n">
        <v>0</v>
      </c>
    </row>
    <row r="12">
      <c r="A12" s="3" t="inlineStr">
        <is>
          <t>EMP011</t>
        </is>
      </c>
      <c r="B12" s="4">
        <f>Scenarios!D12</f>
        <v/>
      </c>
      <c r="C12" s="4">
        <f>Scenarios!E12</f>
        <v/>
      </c>
      <c r="D12" s="4">
        <f>Scenarios!F12</f>
        <v/>
      </c>
      <c r="E12" s="2" t="n">
        <v>5000</v>
      </c>
      <c r="F12" s="2" t="n">
        <v>0</v>
      </c>
    </row>
    <row r="13">
      <c r="A13" s="3" t="inlineStr">
        <is>
          <t>EMP012</t>
        </is>
      </c>
      <c r="B13" s="4">
        <f>Scenarios!D13</f>
        <v/>
      </c>
      <c r="C13" s="4">
        <f>Scenarios!E13</f>
        <v/>
      </c>
      <c r="D13" s="4">
        <f>Scenarios!F13</f>
        <v/>
      </c>
      <c r="E13" s="2" t="n">
        <v>0</v>
      </c>
      <c r="F13" s="2" t="n">
        <v>750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5" customWidth="1" min="6" max="6"/>
    <col width="15" customWidth="1" min="7" max="7"/>
    <col width="17" customWidth="1" min="8" max="8"/>
    <col width="15" customWidth="1" min="9" max="9"/>
    <col width="15" customWidth="1" min="10" max="10"/>
    <col width="15" customWidth="1" min="11" max="11"/>
    <col width="13" customWidth="1" min="12" max="12"/>
    <col width="25" customWidth="1" min="13" max="13"/>
  </cols>
  <sheetData>
    <row r="1">
      <c r="A1" s="1" t="inlineStr">
        <is>
          <t>Employee ID</t>
        </is>
      </c>
      <c r="B1" s="1" t="inlineStr">
        <is>
          <t>Salary</t>
        </is>
      </c>
      <c r="C1" s="1" t="inlineStr">
        <is>
          <t>Bonus</t>
        </is>
      </c>
      <c r="D1" s="1" t="inlineStr">
        <is>
          <t>Overtime</t>
        </is>
      </c>
      <c r="E1" s="1" t="inlineStr">
        <is>
          <t>Allowances</t>
        </is>
      </c>
      <c r="F1" s="1" t="inlineStr">
        <is>
          <t>Other Deductions</t>
        </is>
      </c>
      <c r="G1" s="1" t="inlineStr">
        <is>
          <t>Gross Monthly</t>
        </is>
      </c>
      <c r="H1" s="1" t="inlineStr">
        <is>
          <t>Annualized Gross</t>
        </is>
      </c>
      <c r="I1" s="1" t="inlineStr">
        <is>
          <t>PAYE (Monthly)</t>
        </is>
      </c>
      <c r="J1" s="1" t="inlineStr">
        <is>
          <t>UIF (Employee)</t>
        </is>
      </c>
      <c r="K1" s="1" t="inlineStr">
        <is>
          <t>UIF (Employer)</t>
        </is>
      </c>
      <c r="L1" s="1" t="inlineStr">
        <is>
          <t>SDL (Monthly)</t>
        </is>
      </c>
      <c r="M1" s="1" t="inlineStr">
        <is>
          <t>Notes</t>
        </is>
      </c>
    </row>
    <row r="2">
      <c r="A2" s="5">
        <f>Inputs!A2</f>
        <v/>
      </c>
      <c r="B2" s="4">
        <f>XLOOKUP($A2,Inputs!$A:$A,Inputs!$B:$B,0)</f>
        <v/>
      </c>
      <c r="C2" s="4">
        <f>XLOOKUP($A2,Inputs!$A:$A,Inputs!$C:$C,0)</f>
        <v/>
      </c>
      <c r="D2" s="4">
        <f>XLOOKUP($A2,Inputs!$A:$A,Inputs!$D:$D,0)</f>
        <v/>
      </c>
      <c r="E2" s="4">
        <f>XLOOKUP($A2,Inputs!$A:$A,Inputs!$E:$E,0)</f>
        <v/>
      </c>
      <c r="F2" s="4">
        <f>XLOOKUP($A2,Inputs!$A:$A,Inputs!$F:$F,0)</f>
        <v/>
      </c>
      <c r="G2" s="6">
        <f>SUM(B2:E2)</f>
        <v/>
      </c>
      <c r="H2" s="6">
        <f>G2*12</f>
        <v/>
      </c>
      <c r="I2" s="6">
        <f>LET(
    Annual, H2,
    Bracket1, IF(Annual&lt;=237100, Annual*0.18, 0),
    Bracket2, IF(Annual&gt;237100, MIN(Annual-237100, 133400)*0.26+42678, 0),
    Bracket3, IF(Annual&gt;370500, MIN(Annual-370500, 142300)*0.31+77362, 0),
    Bracket4, IF(Annual&gt;512800, MIN(Annual-512800, 160200)*0.36+121475, 0),
    Bracket5, IF(Annual&gt;673000, MIN(Annual-673000, 184900)*0.39+179147, 0),
    Bracket6, IF(Annual&gt;857900, MIN(Annual-857900, 959100)*0.41+251258, 0),
    Bracket7, IF(Annual&gt;1817000, (Annual-1817000)*0.45+644489, 0),
    TaxAnnual, Bracket1+Bracket2+Bracket3+Bracket4+Bracket5+Bracket6+Bracket7,
    TaxWithRebate, MAX(0, TaxAnnual-Rebate_Primary),
    TaxWithRebate/12
)</f>
        <v/>
      </c>
      <c r="J2" s="6">
        <f>MIN(G2, UIF_Ceiling)*UIF_Employee_Rate</f>
        <v/>
      </c>
      <c r="K2" s="6">
        <f>MIN(G2, UIF_Ceiling)*UIF_Employer_Rate</f>
        <v/>
      </c>
      <c r="L2" s="6">
        <f>IF(Outputs!$B$14&gt;SDL_Threshold, G2*SDL_Rate, 0)</f>
        <v/>
      </c>
      <c r="M2" t="inlineStr">
        <is>
          <t>Low income</t>
        </is>
      </c>
    </row>
    <row r="3">
      <c r="A3" s="5">
        <f>Inputs!A3</f>
        <v/>
      </c>
      <c r="B3" s="4">
        <f>XLOOKUP($A3,Inputs!$A:$A,Inputs!$B:$B,0)</f>
        <v/>
      </c>
      <c r="C3" s="4">
        <f>XLOOKUP($A3,Inputs!$A:$A,Inputs!$C:$C,0)</f>
        <v/>
      </c>
      <c r="D3" s="4">
        <f>XLOOKUP($A3,Inputs!$A:$A,Inputs!$D:$D,0)</f>
        <v/>
      </c>
      <c r="E3" s="4">
        <f>XLOOKUP($A3,Inputs!$A:$A,Inputs!$E:$E,0)</f>
        <v/>
      </c>
      <c r="F3" s="4">
        <f>XLOOKUP($A3,Inputs!$A:$A,Inputs!$F:$F,0)</f>
        <v/>
      </c>
      <c r="G3" s="6">
        <f>SUM(B3:E3)</f>
        <v/>
      </c>
      <c r="H3" s="6">
        <f>G3*12</f>
        <v/>
      </c>
      <c r="I3" s="6">
        <f>LET(
    Annual, H3,
    Bracket1, IF(Annual&lt;=237100, Annual*0.18, 0),
    Bracket2, IF(Annual&gt;237100, MIN(Annual-237100, 133400)*0.26+42678, 0),
    Bracket3, IF(Annual&gt;370500, MIN(Annual-370500, 142300)*0.31+77362, 0),
    Bracket4, IF(Annual&gt;512800, MIN(Annual-512800, 160200)*0.36+121475, 0),
    Bracket5, IF(Annual&gt;673000, MIN(Annual-673000, 184900)*0.39+179147, 0),
    Bracket6, IF(Annual&gt;857900, MIN(Annual-857900, 959100)*0.41+251258, 0),
    Bracket7, IF(Annual&gt;1817000, (Annual-1817000)*0.45+644489, 0),
    TaxAnnual, Bracket1+Bracket2+Bracket3+Bracket4+Bracket5+Bracket6+Bracket7,
    TaxWithRebate, MAX(0, TaxAnnual-Rebate_Primary),
    TaxWithRebate/12
)</f>
        <v/>
      </c>
      <c r="J3" s="6">
        <f>MIN(G3, UIF_Ceiling)*UIF_Employee_Rate</f>
        <v/>
      </c>
      <c r="K3" s="6">
        <f>MIN(G3, UIF_Ceiling)*UIF_Employer_Rate</f>
        <v/>
      </c>
      <c r="L3" s="6">
        <f>IF(Outputs!$B$14&gt;SDL_Threshold, G3*SDL_Rate, 0)</f>
        <v/>
      </c>
      <c r="M3" t="inlineStr">
        <is>
          <t>Above UIF cap</t>
        </is>
      </c>
    </row>
    <row r="4">
      <c r="A4" s="5">
        <f>Inputs!A4</f>
        <v/>
      </c>
      <c r="B4" s="4">
        <f>XLOOKUP($A4,Inputs!$A:$A,Inputs!$B:$B,0)</f>
        <v/>
      </c>
      <c r="C4" s="4">
        <f>XLOOKUP($A4,Inputs!$A:$A,Inputs!$C:$C,0)</f>
        <v/>
      </c>
      <c r="D4" s="4">
        <f>XLOOKUP($A4,Inputs!$A:$A,Inputs!$D:$D,0)</f>
        <v/>
      </c>
      <c r="E4" s="4">
        <f>XLOOKUP($A4,Inputs!$A:$A,Inputs!$E:$E,0)</f>
        <v/>
      </c>
      <c r="F4" s="4">
        <f>XLOOKUP($A4,Inputs!$A:$A,Inputs!$F:$F,0)</f>
        <v/>
      </c>
      <c r="G4" s="6">
        <f>SUM(B4:E4)</f>
        <v/>
      </c>
      <c r="H4" s="6">
        <f>G4*12</f>
        <v/>
      </c>
      <c r="I4" s="6">
        <f>LET(
    Annual, H4,
    Bracket1, IF(Annual&lt;=237100, Annual*0.18, 0),
    Bracket2, IF(Annual&gt;237100, MIN(Annual-237100, 133400)*0.26+42678, 0),
    Bracket3, IF(Annual&gt;370500, MIN(Annual-370500, 142300)*0.31+77362, 0),
    Bracket4, IF(Annual&gt;512800, MIN(Annual-512800, 160200)*0.36+121475, 0),
    Bracket5, IF(Annual&gt;673000, MIN(Annual-673000, 184900)*0.39+179147, 0),
    Bracket6, IF(Annual&gt;857900, MIN(Annual-857900, 959100)*0.41+251258, 0),
    Bracket7, IF(Annual&gt;1817000, (Annual-1817000)*0.45+644489, 0),
    TaxAnnual, Bracket1+Bracket2+Bracket3+Bracket4+Bracket5+Bracket6+Bracket7,
    TaxWithRebate, MAX(0, TaxAnnual-Rebate_Primary),
    TaxWithRebate/12
)</f>
        <v/>
      </c>
      <c r="J4" s="6">
        <f>MIN(G4, UIF_Ceiling)*UIF_Employee_Rate</f>
        <v/>
      </c>
      <c r="K4" s="6">
        <f>MIN(G4, UIF_Ceiling)*UIF_Employer_Rate</f>
        <v/>
      </c>
      <c r="L4" s="6">
        <f>IF(Outputs!$B$14&gt;SDL_Threshold, G4*SDL_Rate, 0)</f>
        <v/>
      </c>
      <c r="M4" t="inlineStr">
        <is>
          <t>High income</t>
        </is>
      </c>
    </row>
    <row r="5">
      <c r="A5" s="5">
        <f>Inputs!A5</f>
        <v/>
      </c>
      <c r="B5" s="4">
        <f>XLOOKUP($A5,Inputs!$A:$A,Inputs!$B:$B,0)</f>
        <v/>
      </c>
      <c r="C5" s="4">
        <f>XLOOKUP($A5,Inputs!$A:$A,Inputs!$C:$C,0)</f>
        <v/>
      </c>
      <c r="D5" s="4">
        <f>XLOOKUP($A5,Inputs!$A:$A,Inputs!$D:$D,0)</f>
        <v/>
      </c>
      <c r="E5" s="4">
        <f>XLOOKUP($A5,Inputs!$A:$A,Inputs!$E:$E,0)</f>
        <v/>
      </c>
      <c r="F5" s="4">
        <f>XLOOKUP($A5,Inputs!$A:$A,Inputs!$F:$F,0)</f>
        <v/>
      </c>
      <c r="G5" s="6">
        <f>SUM(B5:E5)</f>
        <v/>
      </c>
      <c r="H5" s="6">
        <f>G5*12</f>
        <v/>
      </c>
      <c r="I5" s="6">
        <f>LET(
    Annual, H5,
    Bracket1, IF(Annual&lt;=237100, Annual*0.18, 0),
    Bracket2, IF(Annual&gt;237100, MIN(Annual-237100, 133400)*0.26+42678, 0),
    Bracket3, IF(Annual&gt;370500, MIN(Annual-370500, 142300)*0.31+77362, 0),
    Bracket4, IF(Annual&gt;512800, MIN(Annual-512800, 160200)*0.36+121475, 0),
    Bracket5, IF(Annual&gt;673000, MIN(Annual-673000, 184900)*0.39+179147, 0),
    Bracket6, IF(Annual&gt;857900, MIN(Annual-857900, 959100)*0.41+251258, 0),
    Bracket7, IF(Annual&gt;1817000, (Annual-1817000)*0.45+644489, 0),
    TaxAnnual, Bracket1+Bracket2+Bracket3+Bracket4+Bracket5+Bracket6+Bracket7,
    TaxWithRebate, MAX(0, TaxAnnual-Rebate_Primary),
    TaxWithRebate/12
)</f>
        <v/>
      </c>
      <c r="J5" s="6">
        <f>MIN(G5, UIF_Ceiling)*UIF_Employee_Rate</f>
        <v/>
      </c>
      <c r="K5" s="6">
        <f>MIN(G5, UIF_Ceiling)*UIF_Employer_Rate</f>
        <v/>
      </c>
      <c r="L5" s="6">
        <f>IF(Outputs!$B$14&gt;SDL_Threshold, G5*SDL_Rate, 0)</f>
        <v/>
      </c>
      <c r="M5" t="inlineStr">
        <is>
          <t>Bonus month</t>
        </is>
      </c>
    </row>
    <row r="6">
      <c r="A6" s="5">
        <f>Inputs!A6</f>
        <v/>
      </c>
      <c r="B6" s="4">
        <f>XLOOKUP($A6,Inputs!$A:$A,Inputs!$B:$B,0)</f>
        <v/>
      </c>
      <c r="C6" s="4">
        <f>XLOOKUP($A6,Inputs!$A:$A,Inputs!$C:$C,0)</f>
        <v/>
      </c>
      <c r="D6" s="4">
        <f>XLOOKUP($A6,Inputs!$A:$A,Inputs!$D:$D,0)</f>
        <v/>
      </c>
      <c r="E6" s="4">
        <f>XLOOKUP($A6,Inputs!$A:$A,Inputs!$E:$E,0)</f>
        <v/>
      </c>
      <c r="F6" s="4">
        <f>XLOOKUP($A6,Inputs!$A:$A,Inputs!$F:$F,0)</f>
        <v/>
      </c>
      <c r="G6" s="6">
        <f>SUM(B6:E6)</f>
        <v/>
      </c>
      <c r="H6" s="6">
        <f>G6*12</f>
        <v/>
      </c>
      <c r="I6" s="6">
        <f>LET(
    Annual, H6,
    Bracket1, IF(Annual&lt;=237100, Annual*0.18, 0),
    Bracket2, IF(Annual&gt;237100, MIN(Annual-237100, 133400)*0.26+42678, 0),
    Bracket3, IF(Annual&gt;370500, MIN(Annual-370500, 142300)*0.31+77362, 0),
    Bracket4, IF(Annual&gt;512800, MIN(Annual-512800, 160200)*0.36+121475, 0),
    Bracket5, IF(Annual&gt;673000, MIN(Annual-673000, 184900)*0.39+179147, 0),
    Bracket6, IF(Annual&gt;857900, MIN(Annual-857900, 959100)*0.41+251258, 0),
    Bracket7, IF(Annual&gt;1817000, (Annual-1817000)*0.45+644489, 0),
    TaxAnnual, Bracket1+Bracket2+Bracket3+Bracket4+Bracket5+Bracket6+Bracket7,
    TaxWithRebate, MAX(0, TaxAnnual-Rebate_Primary),
    TaxWithRebate/12
)</f>
        <v/>
      </c>
      <c r="J6" s="6">
        <f>MIN(G6, UIF_Ceiling)*UIF_Employee_Rate</f>
        <v/>
      </c>
      <c r="K6" s="6">
        <f>MIN(G6, UIF_Ceiling)*UIF_Employer_Rate</f>
        <v/>
      </c>
      <c r="L6" s="6">
        <f>IF(Outputs!$B$14&gt;SDL_Threshold, G6*SDL_Rate, 0)</f>
        <v/>
      </c>
      <c r="M6" t="inlineStr">
        <is>
          <t>Overtime heavy</t>
        </is>
      </c>
    </row>
    <row r="7">
      <c r="A7" s="5">
        <f>Inputs!A7</f>
        <v/>
      </c>
      <c r="B7" s="4">
        <f>XLOOKUP($A7,Inputs!$A:$A,Inputs!$B:$B,0)</f>
        <v/>
      </c>
      <c r="C7" s="4">
        <f>XLOOKUP($A7,Inputs!$A:$A,Inputs!$C:$C,0)</f>
        <v/>
      </c>
      <c r="D7" s="4">
        <f>XLOOKUP($A7,Inputs!$A:$A,Inputs!$D:$D,0)</f>
        <v/>
      </c>
      <c r="E7" s="4">
        <f>XLOOKUP($A7,Inputs!$A:$A,Inputs!$E:$E,0)</f>
        <v/>
      </c>
      <c r="F7" s="4">
        <f>XLOOKUP($A7,Inputs!$A:$A,Inputs!$F:$F,0)</f>
        <v/>
      </c>
      <c r="G7" s="6">
        <f>SUM(B7:E7)</f>
        <v/>
      </c>
      <c r="H7" s="6">
        <f>G7*12</f>
        <v/>
      </c>
      <c r="I7" s="6">
        <f>LET(
    Annual, H7,
    Bracket1, IF(Annual&lt;=237100, Annual*0.18, 0),
    Bracket2, IF(Annual&gt;237100, MIN(Annual-237100, 133400)*0.26+42678, 0),
    Bracket3, IF(Annual&gt;370500, MIN(Annual-370500, 142300)*0.31+77362, 0),
    Bracket4, IF(Annual&gt;512800, MIN(Annual-512800, 160200)*0.36+121475, 0),
    Bracket5, IF(Annual&gt;673000, MIN(Annual-673000, 184900)*0.39+179147, 0),
    Bracket6, IF(Annual&gt;857900, MIN(Annual-857900, 959100)*0.41+251258, 0),
    Bracket7, IF(Annual&gt;1817000, (Annual-1817000)*0.45+644489, 0),
    TaxAnnual, Bracket1+Bracket2+Bracket3+Bracket4+Bracket5+Bracket6+Bracket7,
    TaxWithRebate, MAX(0, TaxAnnual-Rebate_Primary),
    TaxWithRebate/12
)</f>
        <v/>
      </c>
      <c r="J7" s="6">
        <f>MIN(G7, UIF_Ceiling)*UIF_Employee_Rate</f>
        <v/>
      </c>
      <c r="K7" s="6">
        <f>MIN(G7, UIF_Ceiling)*UIF_Employer_Rate</f>
        <v/>
      </c>
      <c r="L7" s="6">
        <f>IF(Outputs!$B$14&gt;SDL_Threshold, G7*SDL_Rate, 0)</f>
        <v/>
      </c>
      <c r="M7" t="inlineStr">
        <is>
          <t>New hire mid-month</t>
        </is>
      </c>
    </row>
    <row r="8">
      <c r="A8" s="5">
        <f>Inputs!A8</f>
        <v/>
      </c>
      <c r="B8" s="4">
        <f>XLOOKUP($A8,Inputs!$A:$A,Inputs!$B:$B,0)</f>
        <v/>
      </c>
      <c r="C8" s="4">
        <f>XLOOKUP($A8,Inputs!$A:$A,Inputs!$C:$C,0)</f>
        <v/>
      </c>
      <c r="D8" s="4">
        <f>XLOOKUP($A8,Inputs!$A:$A,Inputs!$D:$D,0)</f>
        <v/>
      </c>
      <c r="E8" s="4">
        <f>XLOOKUP($A8,Inputs!$A:$A,Inputs!$E:$E,0)</f>
        <v/>
      </c>
      <c r="F8" s="4">
        <f>XLOOKUP($A8,Inputs!$A:$A,Inputs!$F:$F,0)</f>
        <v/>
      </c>
      <c r="G8" s="6">
        <f>SUM(B8:E8)</f>
        <v/>
      </c>
      <c r="H8" s="6">
        <f>G8*12</f>
        <v/>
      </c>
      <c r="I8" s="6">
        <f>LET(
    Annual, H8,
    Bracket1, IF(Annual&lt;=237100, Annual*0.18, 0),
    Bracket2, IF(Annual&gt;237100, MIN(Annual-237100, 133400)*0.26+42678, 0),
    Bracket3, IF(Annual&gt;370500, MIN(Annual-370500, 142300)*0.31+77362, 0),
    Bracket4, IF(Annual&gt;512800, MIN(Annual-512800, 160200)*0.36+121475, 0),
    Bracket5, IF(Annual&gt;673000, MIN(Annual-673000, 184900)*0.39+179147, 0),
    Bracket6, IF(Annual&gt;857900, MIN(Annual-857900, 959100)*0.41+251258, 0),
    Bracket7, IF(Annual&gt;1817000, (Annual-1817000)*0.45+644489, 0),
    TaxAnnual, Bracket1+Bracket2+Bracket3+Bracket4+Bracket5+Bracket6+Bracket7,
    TaxWithRebate, MAX(0, TaxAnnual-Rebate_Primary),
    TaxWithRebate/12
)</f>
        <v/>
      </c>
      <c r="J8" s="6">
        <f>MIN(G8, UIF_Ceiling)*UIF_Employee_Rate</f>
        <v/>
      </c>
      <c r="K8" s="6">
        <f>MIN(G8, UIF_Ceiling)*UIF_Employer_Rate</f>
        <v/>
      </c>
      <c r="L8" s="6">
        <f>IF(Outputs!$B$14&gt;SDL_Threshold, G8*SDL_Rate, 0)</f>
        <v/>
      </c>
      <c r="M8" t="inlineStr">
        <is>
          <t>Termination mid-month</t>
        </is>
      </c>
    </row>
    <row r="9">
      <c r="A9" s="5">
        <f>Inputs!A9</f>
        <v/>
      </c>
      <c r="B9" s="4">
        <f>XLOOKUP($A9,Inputs!$A:$A,Inputs!$B:$B,0)</f>
        <v/>
      </c>
      <c r="C9" s="4">
        <f>XLOOKUP($A9,Inputs!$A:$A,Inputs!$C:$C,0)</f>
        <v/>
      </c>
      <c r="D9" s="4">
        <f>XLOOKUP($A9,Inputs!$A:$A,Inputs!$D:$D,0)</f>
        <v/>
      </c>
      <c r="E9" s="4">
        <f>XLOOKUP($A9,Inputs!$A:$A,Inputs!$E:$E,0)</f>
        <v/>
      </c>
      <c r="F9" s="4">
        <f>XLOOKUP($A9,Inputs!$A:$A,Inputs!$F:$F,0)</f>
        <v/>
      </c>
      <c r="G9" s="6">
        <f>SUM(B9:E9)</f>
        <v/>
      </c>
      <c r="H9" s="6">
        <f>G9*12</f>
        <v/>
      </c>
      <c r="I9" s="6">
        <f>LET(
    Annual, H9,
    Bracket1, IF(Annual&lt;=237100, Annual*0.18, 0),
    Bracket2, IF(Annual&gt;237100, MIN(Annual-237100, 133400)*0.26+42678, 0),
    Bracket3, IF(Annual&gt;370500, MIN(Annual-370500, 142300)*0.31+77362, 0),
    Bracket4, IF(Annual&gt;512800, MIN(Annual-512800, 160200)*0.36+121475, 0),
    Bracket5, IF(Annual&gt;673000, MIN(Annual-673000, 184900)*0.39+179147, 0),
    Bracket6, IF(Annual&gt;857900, MIN(Annual-857900, 959100)*0.41+251258, 0),
    Bracket7, IF(Annual&gt;1817000, (Annual-1817000)*0.45+644489, 0),
    TaxAnnual, Bracket1+Bracket2+Bracket3+Bracket4+Bracket5+Bracket6+Bracket7,
    TaxWithRebate, MAX(0, TaxAnnual-Rebate_Primary),
    TaxWithRebate/12
)</f>
        <v/>
      </c>
      <c r="J9" s="6">
        <f>MIN(G9, UIF_Ceiling)*UIF_Employee_Rate</f>
        <v/>
      </c>
      <c r="K9" s="6">
        <f>MIN(G9, UIF_Ceiling)*UIF_Employer_Rate</f>
        <v/>
      </c>
      <c r="L9" s="6">
        <f>IF(Outputs!$B$14&gt;SDL_Threshold, G9*SDL_Rate, 0)</f>
        <v/>
      </c>
      <c r="M9" t="inlineStr">
        <is>
          <t>Contractor</t>
        </is>
      </c>
    </row>
    <row r="10">
      <c r="A10" s="5">
        <f>Inputs!A10</f>
        <v/>
      </c>
      <c r="B10" s="4">
        <f>XLOOKUP($A10,Inputs!$A:$A,Inputs!$B:$B,0)</f>
        <v/>
      </c>
      <c r="C10" s="4">
        <f>XLOOKUP($A10,Inputs!$A:$A,Inputs!$C:$C,0)</f>
        <v/>
      </c>
      <c r="D10" s="4">
        <f>XLOOKUP($A10,Inputs!$A:$A,Inputs!$D:$D,0)</f>
        <v/>
      </c>
      <c r="E10" s="4">
        <f>XLOOKUP($A10,Inputs!$A:$A,Inputs!$E:$E,0)</f>
        <v/>
      </c>
      <c r="F10" s="4">
        <f>XLOOKUP($A10,Inputs!$A:$A,Inputs!$F:$F,0)</f>
        <v/>
      </c>
      <c r="G10" s="6">
        <f>SUM(B10:E10)</f>
        <v/>
      </c>
      <c r="H10" s="6">
        <f>G10*12</f>
        <v/>
      </c>
      <c r="I10" s="6">
        <f>LET(
    Annual, H10,
    Bracket1, IF(Annual&lt;=237100, Annual*0.18, 0),
    Bracket2, IF(Annual&gt;237100, MIN(Annual-237100, 133400)*0.26+42678, 0),
    Bracket3, IF(Annual&gt;370500, MIN(Annual-370500, 142300)*0.31+77362, 0),
    Bracket4, IF(Annual&gt;512800, MIN(Annual-512800, 160200)*0.36+121475, 0),
    Bracket5, IF(Annual&gt;673000, MIN(Annual-673000, 184900)*0.39+179147, 0),
    Bracket6, IF(Annual&gt;857900, MIN(Annual-857900, 959100)*0.41+251258, 0),
    Bracket7, IF(Annual&gt;1817000, (Annual-1817000)*0.45+644489, 0),
    TaxAnnual, Bracket1+Bracket2+Bracket3+Bracket4+Bracket5+Bracket6+Bracket7,
    TaxWithRebate, MAX(0, TaxAnnual-Rebate_Primary),
    TaxWithRebate/12
)</f>
        <v/>
      </c>
      <c r="J10" s="6">
        <f>MIN(G10, UIF_Ceiling)*UIF_Employee_Rate</f>
        <v/>
      </c>
      <c r="K10" s="6">
        <f>MIN(G10, UIF_Ceiling)*UIF_Employer_Rate</f>
        <v/>
      </c>
      <c r="L10" s="6">
        <f>IF(Outputs!$B$14&gt;SDL_Threshold, G10*SDL_Rate, 0)</f>
        <v/>
      </c>
      <c r="M10" t="inlineStr">
        <is>
          <t>Mixed pay</t>
        </is>
      </c>
    </row>
    <row r="11">
      <c r="A11" s="5">
        <f>Inputs!A11</f>
        <v/>
      </c>
      <c r="B11" s="4">
        <f>XLOOKUP($A11,Inputs!$A:$A,Inputs!$B:$B,0)</f>
        <v/>
      </c>
      <c r="C11" s="4">
        <f>XLOOKUP($A11,Inputs!$A:$A,Inputs!$C:$C,0)</f>
        <v/>
      </c>
      <c r="D11" s="4">
        <f>XLOOKUP($A11,Inputs!$A:$A,Inputs!$D:$D,0)</f>
        <v/>
      </c>
      <c r="E11" s="4">
        <f>XLOOKUP($A11,Inputs!$A:$A,Inputs!$E:$E,0)</f>
        <v/>
      </c>
      <c r="F11" s="4">
        <f>XLOOKUP($A11,Inputs!$A:$A,Inputs!$F:$F,0)</f>
        <v/>
      </c>
      <c r="G11" s="6">
        <f>SUM(B11:E11)</f>
        <v/>
      </c>
      <c r="H11" s="6">
        <f>G11*12</f>
        <v/>
      </c>
      <c r="I11" s="6">
        <f>LET(
    Annual, H11,
    Bracket1, IF(Annual&lt;=237100, Annual*0.18, 0),
    Bracket2, IF(Annual&gt;237100, MIN(Annual-237100, 133400)*0.26+42678, 0),
    Bracket3, IF(Annual&gt;370500, MIN(Annual-370500, 142300)*0.31+77362, 0),
    Bracket4, IF(Annual&gt;512800, MIN(Annual-512800, 160200)*0.36+121475, 0),
    Bracket5, IF(Annual&gt;673000, MIN(Annual-673000, 184900)*0.39+179147, 0),
    Bracket6, IF(Annual&gt;857900, MIN(Annual-857900, 959100)*0.41+251258, 0),
    Bracket7, IF(Annual&gt;1817000, (Annual-1817000)*0.45+644489, 0),
    TaxAnnual, Bracket1+Bracket2+Bracket3+Bracket4+Bracket5+Bracket6+Bracket7,
    TaxWithRebate, MAX(0, TaxAnnual-Rebate_Primary),
    TaxWithRebate/12
)</f>
        <v/>
      </c>
      <c r="J11" s="6">
        <f>MIN(G11, UIF_Ceiling)*UIF_Employee_Rate</f>
        <v/>
      </c>
      <c r="K11" s="6">
        <f>MIN(G11, UIF_Ceiling)*UIF_Employer_Rate</f>
        <v/>
      </c>
      <c r="L11" s="6">
        <f>IF(Outputs!$B$14&gt;SDL_Threshold, G11*SDL_Rate, 0)</f>
        <v/>
      </c>
      <c r="M11" t="inlineStr">
        <is>
          <t>At UIF cap</t>
        </is>
      </c>
    </row>
    <row r="12">
      <c r="A12" s="5">
        <f>Inputs!A12</f>
        <v/>
      </c>
      <c r="B12" s="4">
        <f>XLOOKUP($A12,Inputs!$A:$A,Inputs!$B:$B,0)</f>
        <v/>
      </c>
      <c r="C12" s="4">
        <f>XLOOKUP($A12,Inputs!$A:$A,Inputs!$C:$C,0)</f>
        <v/>
      </c>
      <c r="D12" s="4">
        <f>XLOOKUP($A12,Inputs!$A:$A,Inputs!$D:$D,0)</f>
        <v/>
      </c>
      <c r="E12" s="4">
        <f>XLOOKUP($A12,Inputs!$A:$A,Inputs!$E:$E,0)</f>
        <v/>
      </c>
      <c r="F12" s="4">
        <f>XLOOKUP($A12,Inputs!$A:$A,Inputs!$F:$F,0)</f>
        <v/>
      </c>
      <c r="G12" s="6">
        <f>SUM(B12:E12)</f>
        <v/>
      </c>
      <c r="H12" s="6">
        <f>G12*12</f>
        <v/>
      </c>
      <c r="I12" s="6">
        <f>LET(
    Annual, H12,
    Bracket1, IF(Annual&lt;=237100, Annual*0.18, 0),
    Bracket2, IF(Annual&gt;237100, MIN(Annual-237100, 133400)*0.26+42678, 0),
    Bracket3, IF(Annual&gt;370500, MIN(Annual-370500, 142300)*0.31+77362, 0),
    Bracket4, IF(Annual&gt;512800, MIN(Annual-512800, 160200)*0.36+121475, 0),
    Bracket5, IF(Annual&gt;673000, MIN(Annual-673000, 184900)*0.39+179147, 0),
    Bracket6, IF(Annual&gt;857900, MIN(Annual-857900, 959100)*0.41+251258, 0),
    Bracket7, IF(Annual&gt;1817000, (Annual-1817000)*0.45+644489, 0),
    TaxAnnual, Bracket1+Bracket2+Bracket3+Bracket4+Bracket5+Bracket6+Bracket7,
    TaxWithRebate, MAX(0, TaxAnnual-Rebate_Primary),
    TaxWithRebate/12
)</f>
        <v/>
      </c>
      <c r="J12" s="6">
        <f>MIN(G12, UIF_Ceiling)*UIF_Employee_Rate</f>
        <v/>
      </c>
      <c r="K12" s="6">
        <f>MIN(G12, UIF_Ceiling)*UIF_Employer_Rate</f>
        <v/>
      </c>
      <c r="L12" s="6">
        <f>IF(Outputs!$B$14&gt;SDL_Threshold, G12*SDL_Rate, 0)</f>
        <v/>
      </c>
      <c r="M12" t="inlineStr">
        <is>
          <t>SME below SDL threshold</t>
        </is>
      </c>
    </row>
    <row r="13">
      <c r="A13" s="5">
        <f>Inputs!A13</f>
        <v/>
      </c>
      <c r="B13" s="4">
        <f>XLOOKUP($A13,Inputs!$A:$A,Inputs!$B:$B,0)</f>
        <v/>
      </c>
      <c r="C13" s="4">
        <f>XLOOKUP($A13,Inputs!$A:$A,Inputs!$C:$C,0)</f>
        <v/>
      </c>
      <c r="D13" s="4">
        <f>XLOOKUP($A13,Inputs!$A:$A,Inputs!$D:$D,0)</f>
        <v/>
      </c>
      <c r="E13" s="4">
        <f>XLOOKUP($A13,Inputs!$A:$A,Inputs!$E:$E,0)</f>
        <v/>
      </c>
      <c r="F13" s="4">
        <f>XLOOKUP($A13,Inputs!$A:$A,Inputs!$F:$F,0)</f>
        <v/>
      </c>
      <c r="G13" s="6">
        <f>SUM(B13:E13)</f>
        <v/>
      </c>
      <c r="H13" s="6">
        <f>G13*12</f>
        <v/>
      </c>
      <c r="I13" s="6">
        <f>LET(
    Annual, H13,
    Bracket1, IF(Annual&lt;=237100, Annual*0.18, 0),
    Bracket2, IF(Annual&gt;237100, MIN(Annual-237100, 133400)*0.26+42678, 0),
    Bracket3, IF(Annual&gt;370500, MIN(Annual-370500, 142300)*0.31+77362, 0),
    Bracket4, IF(Annual&gt;512800, MIN(Annual-512800, 160200)*0.36+121475, 0),
    Bracket5, IF(Annual&gt;673000, MIN(Annual-673000, 184900)*0.39+179147, 0),
    Bracket6, IF(Annual&gt;857900, MIN(Annual-857900, 959100)*0.41+251258, 0),
    Bracket7, IF(Annual&gt;1817000, (Annual-1817000)*0.45+644489, 0),
    TaxAnnual, Bracket1+Bracket2+Bracket3+Bracket4+Bracket5+Bracket6+Bracket7,
    TaxWithRebate, MAX(0, TaxAnnual-Rebate_Primary),
    TaxWithRebate/12
)</f>
        <v/>
      </c>
      <c r="J13" s="6">
        <f>MIN(G13, UIF_Ceiling)*UIF_Employee_Rate</f>
        <v/>
      </c>
      <c r="K13" s="6">
        <f>MIN(G13, UIF_Ceiling)*UIF_Employer_Rate</f>
        <v/>
      </c>
      <c r="L13" s="6">
        <f>IF(Outputs!$B$14&gt;SDL_Threshold, G13*SDL_Rate, 0)</f>
        <v/>
      </c>
      <c r="M13" t="inlineStr">
        <is>
          <t>Executive</t>
        </is>
      </c>
    </row>
  </sheetData>
  <conditionalFormatting sqref="G2:G13">
    <cfRule type="cellIs" priority="1" operator="greaterThan" dxfId="0">
      <formula>17712</formula>
    </cfRule>
  </conditionalFormatting>
  <conditionalFormatting sqref="H2:H13">
    <cfRule type="cellIs" priority="2" operator="greaterThan" dxfId="1">
      <formula>1817000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5" customWidth="1" min="4" max="4"/>
    <col width="15" customWidth="1" min="5" max="5"/>
    <col width="12" customWidth="1" min="6" max="6"/>
    <col width="15" customWidth="1" min="7" max="7"/>
    <col width="15" customWidth="1" min="8" max="8"/>
  </cols>
  <sheetData>
    <row r="1">
      <c r="A1" s="1" t="inlineStr">
        <is>
          <t>Employee ID</t>
        </is>
      </c>
      <c r="B1" s="1" t="inlineStr">
        <is>
          <t>Gross Pay (Monthly)</t>
        </is>
      </c>
      <c r="C1" s="1" t="inlineStr">
        <is>
          <t>PAYE</t>
        </is>
      </c>
      <c r="D1" s="1" t="inlineStr">
        <is>
          <t>UIF (Employee)</t>
        </is>
      </c>
      <c r="E1" s="1" t="inlineStr">
        <is>
          <t>UIF (Employer)</t>
        </is>
      </c>
      <c r="F1" s="1" t="inlineStr">
        <is>
          <t>SDL</t>
        </is>
      </c>
      <c r="G1" s="1" t="inlineStr">
        <is>
          <t>Net Pay</t>
        </is>
      </c>
      <c r="H1" s="1" t="inlineStr">
        <is>
          <t>Employer Cost</t>
        </is>
      </c>
    </row>
    <row r="2">
      <c r="A2" s="5">
        <f>Calculations!A2</f>
        <v/>
      </c>
      <c r="B2" s="4">
        <f>Calculations!G2</f>
        <v/>
      </c>
      <c r="C2" s="4">
        <f>Calculations!I2</f>
        <v/>
      </c>
      <c r="D2" s="4">
        <f>Calculations!J2</f>
        <v/>
      </c>
      <c r="E2" s="4">
        <f>Calculations!K2</f>
        <v/>
      </c>
      <c r="F2" s="4">
        <f>Calculations!L2</f>
        <v/>
      </c>
      <c r="G2" s="6">
        <f>B2-C2-D2-Inputs!F2</f>
        <v/>
      </c>
      <c r="H2" s="6">
        <f>B2+E2+F2</f>
        <v/>
      </c>
    </row>
    <row r="3">
      <c r="A3" s="5">
        <f>Calculations!A3</f>
        <v/>
      </c>
      <c r="B3" s="4">
        <f>Calculations!G3</f>
        <v/>
      </c>
      <c r="C3" s="4">
        <f>Calculations!I3</f>
        <v/>
      </c>
      <c r="D3" s="4">
        <f>Calculations!J3</f>
        <v/>
      </c>
      <c r="E3" s="4">
        <f>Calculations!K3</f>
        <v/>
      </c>
      <c r="F3" s="4">
        <f>Calculations!L3</f>
        <v/>
      </c>
      <c r="G3" s="6">
        <f>B3-C3-D3-Inputs!F3</f>
        <v/>
      </c>
      <c r="H3" s="6">
        <f>B3+E3+F3</f>
        <v/>
      </c>
    </row>
    <row r="4">
      <c r="A4" s="5">
        <f>Calculations!A4</f>
        <v/>
      </c>
      <c r="B4" s="4">
        <f>Calculations!G4</f>
        <v/>
      </c>
      <c r="C4" s="4">
        <f>Calculations!I4</f>
        <v/>
      </c>
      <c r="D4" s="4">
        <f>Calculations!J4</f>
        <v/>
      </c>
      <c r="E4" s="4">
        <f>Calculations!K4</f>
        <v/>
      </c>
      <c r="F4" s="4">
        <f>Calculations!L4</f>
        <v/>
      </c>
      <c r="G4" s="6">
        <f>B4-C4-D4-Inputs!F4</f>
        <v/>
      </c>
      <c r="H4" s="6">
        <f>B4+E4+F4</f>
        <v/>
      </c>
    </row>
    <row r="5">
      <c r="A5" s="5">
        <f>Calculations!A5</f>
        <v/>
      </c>
      <c r="B5" s="4">
        <f>Calculations!G5</f>
        <v/>
      </c>
      <c r="C5" s="4">
        <f>Calculations!I5</f>
        <v/>
      </c>
      <c r="D5" s="4">
        <f>Calculations!J5</f>
        <v/>
      </c>
      <c r="E5" s="4">
        <f>Calculations!K5</f>
        <v/>
      </c>
      <c r="F5" s="4">
        <f>Calculations!L5</f>
        <v/>
      </c>
      <c r="G5" s="6">
        <f>B5-C5-D5-Inputs!F5</f>
        <v/>
      </c>
      <c r="H5" s="6">
        <f>B5+E5+F5</f>
        <v/>
      </c>
    </row>
    <row r="6">
      <c r="A6" s="5">
        <f>Calculations!A6</f>
        <v/>
      </c>
      <c r="B6" s="4">
        <f>Calculations!G6</f>
        <v/>
      </c>
      <c r="C6" s="4">
        <f>Calculations!I6</f>
        <v/>
      </c>
      <c r="D6" s="4">
        <f>Calculations!J6</f>
        <v/>
      </c>
      <c r="E6" s="4">
        <f>Calculations!K6</f>
        <v/>
      </c>
      <c r="F6" s="4">
        <f>Calculations!L6</f>
        <v/>
      </c>
      <c r="G6" s="6">
        <f>B6-C6-D6-Inputs!F6</f>
        <v/>
      </c>
      <c r="H6" s="6">
        <f>B6+E6+F6</f>
        <v/>
      </c>
    </row>
    <row r="7">
      <c r="A7" s="5">
        <f>Calculations!A7</f>
        <v/>
      </c>
      <c r="B7" s="4">
        <f>Calculations!G7</f>
        <v/>
      </c>
      <c r="C7" s="4">
        <f>Calculations!I7</f>
        <v/>
      </c>
      <c r="D7" s="4">
        <f>Calculations!J7</f>
        <v/>
      </c>
      <c r="E7" s="4">
        <f>Calculations!K7</f>
        <v/>
      </c>
      <c r="F7" s="4">
        <f>Calculations!L7</f>
        <v/>
      </c>
      <c r="G7" s="6">
        <f>B7-C7-D7-Inputs!F7</f>
        <v/>
      </c>
      <c r="H7" s="6">
        <f>B7+E7+F7</f>
        <v/>
      </c>
    </row>
    <row r="8">
      <c r="A8" s="5">
        <f>Calculations!A8</f>
        <v/>
      </c>
      <c r="B8" s="4">
        <f>Calculations!G8</f>
        <v/>
      </c>
      <c r="C8" s="4">
        <f>Calculations!I8</f>
        <v/>
      </c>
      <c r="D8" s="4">
        <f>Calculations!J8</f>
        <v/>
      </c>
      <c r="E8" s="4">
        <f>Calculations!K8</f>
        <v/>
      </c>
      <c r="F8" s="4">
        <f>Calculations!L8</f>
        <v/>
      </c>
      <c r="G8" s="6">
        <f>B8-C8-D8-Inputs!F8</f>
        <v/>
      </c>
      <c r="H8" s="6">
        <f>B8+E8+F8</f>
        <v/>
      </c>
    </row>
    <row r="9">
      <c r="A9" s="5">
        <f>Calculations!A9</f>
        <v/>
      </c>
      <c r="B9" s="4">
        <f>Calculations!G9</f>
        <v/>
      </c>
      <c r="C9" s="4">
        <f>Calculations!I9</f>
        <v/>
      </c>
      <c r="D9" s="4">
        <f>Calculations!J9</f>
        <v/>
      </c>
      <c r="E9" s="4">
        <f>Calculations!K9</f>
        <v/>
      </c>
      <c r="F9" s="4">
        <f>Calculations!L9</f>
        <v/>
      </c>
      <c r="G9" s="6">
        <f>B9-C9-D9-Inputs!F9</f>
        <v/>
      </c>
      <c r="H9" s="6">
        <f>B9+E9+F9</f>
        <v/>
      </c>
    </row>
    <row r="10">
      <c r="A10" s="5">
        <f>Calculations!A10</f>
        <v/>
      </c>
      <c r="B10" s="4">
        <f>Calculations!G10</f>
        <v/>
      </c>
      <c r="C10" s="4">
        <f>Calculations!I10</f>
        <v/>
      </c>
      <c r="D10" s="4">
        <f>Calculations!J10</f>
        <v/>
      </c>
      <c r="E10" s="4">
        <f>Calculations!K10</f>
        <v/>
      </c>
      <c r="F10" s="4">
        <f>Calculations!L10</f>
        <v/>
      </c>
      <c r="G10" s="6">
        <f>B10-C10-D10-Inputs!F10</f>
        <v/>
      </c>
      <c r="H10" s="6">
        <f>B10+E10+F10</f>
        <v/>
      </c>
    </row>
    <row r="11">
      <c r="A11" s="5">
        <f>Calculations!A11</f>
        <v/>
      </c>
      <c r="B11" s="4">
        <f>Calculations!G11</f>
        <v/>
      </c>
      <c r="C11" s="4">
        <f>Calculations!I11</f>
        <v/>
      </c>
      <c r="D11" s="4">
        <f>Calculations!J11</f>
        <v/>
      </c>
      <c r="E11" s="4">
        <f>Calculations!K11</f>
        <v/>
      </c>
      <c r="F11" s="4">
        <f>Calculations!L11</f>
        <v/>
      </c>
      <c r="G11" s="6">
        <f>B11-C11-D11-Inputs!F11</f>
        <v/>
      </c>
      <c r="H11" s="6">
        <f>B11+E11+F11</f>
        <v/>
      </c>
    </row>
    <row r="12">
      <c r="A12" s="5">
        <f>Calculations!A12</f>
        <v/>
      </c>
      <c r="B12" s="4">
        <f>Calculations!G12</f>
        <v/>
      </c>
      <c r="C12" s="4">
        <f>Calculations!I12</f>
        <v/>
      </c>
      <c r="D12" s="4">
        <f>Calculations!J12</f>
        <v/>
      </c>
      <c r="E12" s="4">
        <f>Calculations!K12</f>
        <v/>
      </c>
      <c r="F12" s="4">
        <f>Calculations!L12</f>
        <v/>
      </c>
      <c r="G12" s="6">
        <f>B12-C12-D12-Inputs!F12</f>
        <v/>
      </c>
      <c r="H12" s="6">
        <f>B12+E12+F12</f>
        <v/>
      </c>
    </row>
    <row r="13">
      <c r="A13" s="5">
        <f>Calculations!A13</f>
        <v/>
      </c>
      <c r="B13" s="4">
        <f>Calculations!G13</f>
        <v/>
      </c>
      <c r="C13" s="4">
        <f>Calculations!I13</f>
        <v/>
      </c>
      <c r="D13" s="4">
        <f>Calculations!J13</f>
        <v/>
      </c>
      <c r="E13" s="4">
        <f>Calculations!K13</f>
        <v/>
      </c>
      <c r="F13" s="4">
        <f>Calculations!L13</f>
        <v/>
      </c>
      <c r="G13" s="6">
        <f>B13-C13-D13-Inputs!F13</f>
        <v/>
      </c>
      <c r="H13" s="6">
        <f>B13+E13+F13</f>
        <v/>
      </c>
    </row>
    <row r="14">
      <c r="A14" s="7" t="inlineStr">
        <is>
          <t>Annual Payroll:</t>
        </is>
      </c>
      <c r="B14" s="8">
        <f>B14*12</f>
        <v/>
      </c>
      <c r="C14" s="8">
        <f>SUM(C2:C13)</f>
        <v/>
      </c>
      <c r="D14" s="8">
        <f>SUM(D2:D13)</f>
        <v/>
      </c>
      <c r="E14" s="8">
        <f>SUM(E2:E13)</f>
        <v/>
      </c>
      <c r="F14" s="8">
        <f>SUM(F2:F13)</f>
        <v/>
      </c>
      <c r="G14" s="8">
        <f>SUM(G2:G13)</f>
        <v/>
      </c>
      <c r="H14" s="8">
        <f>SUM(H2:H13)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5" customWidth="1" min="3" max="3"/>
    <col width="18" customWidth="1" min="4" max="4"/>
    <col width="25" customWidth="1" min="6" max="6"/>
    <col width="18" customWidth="1" min="7" max="7"/>
  </cols>
  <sheetData>
    <row r="1">
      <c r="A1" s="9" t="inlineStr">
        <is>
          <t>South African Tax Ruleset 2025-26</t>
        </is>
      </c>
    </row>
    <row r="3">
      <c r="A3" s="10" t="inlineStr">
        <is>
          <t>PAYE Tax Brackets (Annual)</t>
        </is>
      </c>
      <c r="F3" s="10" t="inlineStr">
        <is>
          <t>Tax Rebates (Annual)</t>
        </is>
      </c>
    </row>
    <row r="4">
      <c r="A4" s="1" t="inlineStr">
        <is>
          <t>From (R)</t>
        </is>
      </c>
      <c r="B4" s="1" t="inlineStr">
        <is>
          <t>To (R)</t>
        </is>
      </c>
      <c r="C4" s="1" t="inlineStr">
        <is>
          <t>Base Tax (R)</t>
        </is>
      </c>
      <c r="D4" s="1" t="inlineStr">
        <is>
          <t>Marginal Rate (%)</t>
        </is>
      </c>
      <c r="F4" s="1" t="inlineStr">
        <is>
          <t>Category</t>
        </is>
      </c>
      <c r="G4" s="1" t="inlineStr">
        <is>
          <t>Rebate (R)</t>
        </is>
      </c>
    </row>
    <row r="5">
      <c r="A5" s="11" t="n">
        <v>1</v>
      </c>
      <c r="B5" s="11" t="n">
        <v>237100</v>
      </c>
      <c r="C5" s="2" t="n">
        <v>0</v>
      </c>
      <c r="D5" s="12" t="n">
        <v>0.18</v>
      </c>
      <c r="F5" t="inlineStr">
        <is>
          <t>Primary</t>
        </is>
      </c>
      <c r="G5" s="2" t="n">
        <v>17235</v>
      </c>
    </row>
    <row r="6">
      <c r="A6" s="11" t="n">
        <v>237101</v>
      </c>
      <c r="B6" s="11" t="n">
        <v>370500</v>
      </c>
      <c r="C6" s="2" t="n">
        <v>42678</v>
      </c>
      <c r="D6" s="12" t="n">
        <v>0.26</v>
      </c>
      <c r="F6" t="inlineStr">
        <is>
          <t>Secondary</t>
        </is>
      </c>
      <c r="G6" s="2" t="n">
        <v>9444</v>
      </c>
    </row>
    <row r="7">
      <c r="A7" s="11" t="n">
        <v>370501</v>
      </c>
      <c r="B7" s="11" t="n">
        <v>512800</v>
      </c>
      <c r="C7" s="2" t="n">
        <v>77362</v>
      </c>
      <c r="D7" s="12" t="n">
        <v>0.31</v>
      </c>
      <c r="F7" t="inlineStr">
        <is>
          <t>Tertiary</t>
        </is>
      </c>
      <c r="G7" s="2" t="n">
        <v>3145</v>
      </c>
    </row>
    <row r="8">
      <c r="A8" s="11" t="n">
        <v>512801</v>
      </c>
      <c r="B8" s="11" t="n">
        <v>673000</v>
      </c>
      <c r="C8" s="2" t="n">
        <v>121475</v>
      </c>
      <c r="D8" s="12" t="n">
        <v>0.36</v>
      </c>
    </row>
    <row r="9">
      <c r="A9" s="11" t="n">
        <v>673001</v>
      </c>
      <c r="B9" s="11" t="n">
        <v>857900</v>
      </c>
      <c r="C9" s="2" t="n">
        <v>179147</v>
      </c>
      <c r="D9" s="12" t="n">
        <v>0.39</v>
      </c>
      <c r="F9" s="10" t="inlineStr">
        <is>
          <t>Tax Thresholds (Annual)</t>
        </is>
      </c>
    </row>
    <row r="10">
      <c r="A10" s="11" t="n">
        <v>857901</v>
      </c>
      <c r="B10" s="11" t="n">
        <v>1817000</v>
      </c>
      <c r="C10" s="2" t="n">
        <v>251258</v>
      </c>
      <c r="D10" s="12" t="n">
        <v>0.41</v>
      </c>
      <c r="F10" s="1" t="inlineStr">
        <is>
          <t>Age Category</t>
        </is>
      </c>
      <c r="G10" s="1" t="inlineStr">
        <is>
          <t>Threshold (R)</t>
        </is>
      </c>
    </row>
    <row r="11">
      <c r="A11" s="11" t="n">
        <v>1817001</v>
      </c>
      <c r="B11" s="11" t="n">
        <v>99999999</v>
      </c>
      <c r="C11" s="2" t="n">
        <v>644489</v>
      </c>
      <c r="D11" s="12" t="n">
        <v>0.45</v>
      </c>
      <c r="F11" t="inlineStr">
        <is>
          <t>Under 65</t>
        </is>
      </c>
      <c r="G11" s="2" t="n">
        <v>95750</v>
      </c>
    </row>
    <row r="12">
      <c r="F12" t="inlineStr">
        <is>
          <t>65-74</t>
        </is>
      </c>
      <c r="G12" s="2" t="n">
        <v>148217</v>
      </c>
    </row>
    <row r="13">
      <c r="A13" s="10" t="inlineStr">
        <is>
          <t>UIF &amp; SDL Parameters</t>
        </is>
      </c>
      <c r="F13" t="inlineStr">
        <is>
          <t>75+</t>
        </is>
      </c>
      <c r="G13" s="2" t="n">
        <v>165689</v>
      </c>
    </row>
    <row r="14">
      <c r="A14" s="1" t="inlineStr">
        <is>
          <t>Parameter</t>
        </is>
      </c>
      <c r="B14" s="1" t="inlineStr">
        <is>
          <t>Value</t>
        </is>
      </c>
    </row>
    <row r="15">
      <c r="A15" t="inlineStr">
        <is>
          <t>UIF Ceiling (Monthly)</t>
        </is>
      </c>
      <c r="B15" s="2" t="n">
        <v>17712</v>
      </c>
    </row>
    <row r="16">
      <c r="A16" t="inlineStr">
        <is>
          <t>UIF Employee Rate</t>
        </is>
      </c>
      <c r="B16" s="12" t="n">
        <v>0.01</v>
      </c>
    </row>
    <row r="17">
      <c r="A17" t="inlineStr">
        <is>
          <t>UIF Employer Rate</t>
        </is>
      </c>
      <c r="B17" s="12" t="n">
        <v>0.01</v>
      </c>
    </row>
    <row r="18">
      <c r="A18" t="inlineStr">
        <is>
          <t>SDL Rate</t>
        </is>
      </c>
      <c r="B18" s="12" t="n">
        <v>0.01</v>
      </c>
    </row>
    <row r="19">
      <c r="A19" t="inlineStr">
        <is>
          <t>SDL Threshold (Annual Payroll)</t>
        </is>
      </c>
      <c r="B19" s="2" t="n">
        <v>500000</v>
      </c>
    </row>
    <row r="21">
      <c r="A21" s="10" t="inlineStr">
        <is>
          <t>Effective Dates</t>
        </is>
      </c>
    </row>
    <row r="22">
      <c r="A22" t="inlineStr">
        <is>
          <t>Tax Year: 1 March 2025 - 28 February 2026</t>
        </is>
      </c>
    </row>
    <row r="23">
      <c r="A23" t="inlineStr">
        <is>
          <t>Version: Ruleset v1.1 (2025-26)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80" customWidth="1" min="1" max="1"/>
    <col width="18" customWidth="1" min="2" max="2"/>
    <col width="35" customWidth="1" min="3" max="3"/>
  </cols>
  <sheetData>
    <row r="1">
      <c r="A1" s="9" t="inlineStr">
        <is>
          <t>Sources &amp; Documentation</t>
        </is>
      </c>
    </row>
    <row r="3">
      <c r="A3" s="10" t="inlineStr">
        <is>
          <t>Sources:</t>
        </is>
      </c>
    </row>
    <row r="4">
      <c r="A4" t="inlineStr">
        <is>
          <t>• SARS Tax Tables 2025/26 (https://www.sars.gov.za)</t>
        </is>
      </c>
    </row>
    <row r="5">
      <c r="A5" t="inlineStr">
        <is>
          <t>• TaxTim PAYE Calculator and Summaries</t>
        </is>
      </c>
    </row>
    <row r="6">
      <c r="A6" t="inlineStr">
        <is>
          <t>• South African Revenue Service - Income Tax Rates</t>
        </is>
      </c>
    </row>
    <row r="7">
      <c r="A7" t="inlineStr">
        <is>
          <t>• Department of Labour - UIF Contribution Rates</t>
        </is>
      </c>
    </row>
    <row r="8">
      <c r="A8" t="inlineStr">
        <is>
          <t>• Department of Higher Education - SDL Requirements</t>
        </is>
      </c>
    </row>
    <row r="10">
      <c r="A10" s="10" t="inlineStr">
        <is>
          <t>Important Notes:</t>
        </is>
      </c>
    </row>
    <row r="11">
      <c r="A11" t="inlineStr">
        <is>
          <t>• Bonuses are taxed in the month received and included in annual PAYE calculation</t>
        </is>
      </c>
    </row>
    <row r="12">
      <c r="A12" t="inlineStr">
        <is>
          <t>• UIF applies to capped remuneration (R17,712 per month as of 2025/26)</t>
        </is>
      </c>
    </row>
    <row r="13">
      <c r="A13" t="inlineStr">
        <is>
          <t>• SDL (Skills Development Levy) applies only if annual payroll exceeds R500,000</t>
        </is>
      </c>
    </row>
    <row r="14">
      <c r="A14" t="inlineStr">
        <is>
          <t>• Contractors are typically excluded from UIF and SDL (handled via provisional tax)</t>
        </is>
      </c>
    </row>
    <row r="15">
      <c r="A15" t="inlineStr">
        <is>
          <t>• PAYE uses annual tax brackets with monthly rebates applied</t>
        </is>
      </c>
    </row>
    <row r="16">
      <c r="A16" t="inlineStr">
        <is>
          <t>• Primary rebate of R17,235 annually is applied (divided by 12 for monthly)</t>
        </is>
      </c>
    </row>
    <row r="17">
      <c r="A17" t="inlineStr">
        <is>
          <t>• This model assumes all employees are under 65 (primary rebate only)</t>
        </is>
      </c>
    </row>
    <row r="18">
      <c r="A18" t="inlineStr">
        <is>
          <t>• Mid-month hires/terminations should be prorated in actual payroll systems</t>
        </is>
      </c>
    </row>
    <row r="19">
      <c r="A19" t="inlineStr">
        <is>
          <t>• Other deductions include items like union fees, garnishee orders, etc.</t>
        </is>
      </c>
    </row>
    <row r="22">
      <c r="A22" s="10" t="inlineStr">
        <is>
          <t>Version Information:</t>
        </is>
      </c>
    </row>
    <row r="23">
      <c r="A23" t="inlineStr">
        <is>
          <t>Workbook: v1.1 (2025-26)</t>
        </is>
      </c>
    </row>
    <row r="24">
      <c r="A24" t="inlineStr">
        <is>
          <t>Tax Year: 1 March 2025 - 28 February 2026</t>
        </is>
      </c>
    </row>
    <row r="25">
      <c r="A25" t="inlineStr">
        <is>
          <t>Ruleset: v1.1 (2025-26)</t>
        </is>
      </c>
    </row>
    <row r="26">
      <c r="A26" t="inlineStr">
        <is>
          <t>Generated: 2026-01-19 13:55:52</t>
        </is>
      </c>
    </row>
    <row r="29">
      <c r="A29" s="10" t="inlineStr">
        <is>
          <t>Contractor Handling:</t>
        </is>
      </c>
    </row>
    <row r="30">
      <c r="A30" t="inlineStr">
        <is>
          <t>Employee EMP008 is marked as a contractor. In practice:</t>
        </is>
      </c>
    </row>
    <row r="31">
      <c r="A31" t="inlineStr">
        <is>
          <t>• Contractors are not subject to UIF contributions</t>
        </is>
      </c>
    </row>
    <row r="32">
      <c r="A32" t="inlineStr">
        <is>
          <t>• Contractors are not included in SDL calculations</t>
        </is>
      </c>
    </row>
    <row r="33">
      <c r="A33" t="inlineStr">
        <is>
          <t>• PAYE is typically handled via withholding tax (if applicable)</t>
        </is>
      </c>
    </row>
    <row r="34">
      <c r="A34" t="inlineStr">
        <is>
          <t>• Contractors submit their own provisional tax returns</t>
        </is>
      </c>
    </row>
    <row r="35">
      <c r="A35" t="inlineStr">
        <is>
          <t>This workbook shows zero UIF/SDL for contractors but includes PAYE for illustration.</t>
        </is>
      </c>
    </row>
    <row r="38">
      <c r="A38" s="10" t="inlineStr">
        <is>
          <t>Parameter Traceability:</t>
        </is>
      </c>
    </row>
    <row r="39">
      <c r="A39" s="7" t="inlineStr">
        <is>
          <t>Parameter</t>
        </is>
      </c>
      <c r="B39" s="7" t="inlineStr">
        <is>
          <t>Effective Date</t>
        </is>
      </c>
      <c r="C39" s="7" t="inlineStr">
        <is>
          <t>Location</t>
        </is>
      </c>
    </row>
    <row r="40">
      <c r="A40" t="inlineStr">
        <is>
          <t>PAYE Brackets</t>
        </is>
      </c>
      <c r="B40" t="inlineStr">
        <is>
          <t>2025-03-01</t>
        </is>
      </c>
      <c r="C40" t="inlineStr">
        <is>
          <t>'Ruleset v1.1 (2025-26)'!A5:D11</t>
        </is>
      </c>
    </row>
    <row r="41">
      <c r="A41" t="inlineStr">
        <is>
          <t>Tax Rebates</t>
        </is>
      </c>
      <c r="B41" t="inlineStr">
        <is>
          <t>2025-03-01</t>
        </is>
      </c>
      <c r="C41" t="inlineStr">
        <is>
          <t>'Ruleset v1.1 (2025-26)'!F5:G7</t>
        </is>
      </c>
    </row>
    <row r="42">
      <c r="A42" t="inlineStr">
        <is>
          <t>UIF Ceiling</t>
        </is>
      </c>
      <c r="B42" t="inlineStr">
        <is>
          <t>2025-03-01</t>
        </is>
      </c>
      <c r="C42" t="inlineStr">
        <is>
          <t>'Ruleset v1.1 (2025-26)'!B15</t>
        </is>
      </c>
    </row>
    <row r="43">
      <c r="A43" t="inlineStr">
        <is>
          <t>SDL Threshold</t>
        </is>
      </c>
      <c r="B43" t="inlineStr">
        <is>
          <t>2025-03-01</t>
        </is>
      </c>
      <c r="C43" t="inlineStr">
        <is>
          <t>'Ruleset v1.1 (2025-26)'!B19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2026-01-19T13:55:52Z</dcterms:created>
  <dcterms:modified xmlns:dcterms="http://purl.org/dc/terms/" xmlns:xsi="http://www.w3.org/2001/XMLSchema-instance" xsi:type="dcterms:W3CDTF">2026-01-19T13:55:52Z</dcterms:modified>
</cp:coreProperties>
</file>